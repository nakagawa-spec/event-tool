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第1四半期" sheetId="1" state="visible" r:id="rId1"/>
  </sheets>
  <definedNames>
    <definedName name="_xlnm._FilterDatabase" localSheetId="0" hidden="1">'第1四半期'!$B$8:$I$8</definedName>
    <definedName name="_xlnm.Print_Area" localSheetId="0">'第1四半期'!$A$1:$O$81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&quot;¥&quot;#,##0_);[Red]\(&quot;¥&quot;#,##0\)"/>
    <numFmt numFmtId="166" formatCode="#,##0_);[Red]\(#,##0\)"/>
    <numFmt numFmtId="167" formatCode="&quot;¥&quot;#,##0;&quot;¥&quot;\-#,##0"/>
  </numFmts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b val="1"/>
      <color theme="1"/>
      <sz val="12"/>
      <scheme val="minor"/>
    </font>
    <font>
      <name val="游ゴシック"/>
      <charset val="128"/>
      <family val="3"/>
      <b val="1"/>
      <color theme="1"/>
      <sz val="16"/>
      <scheme val="minor"/>
    </font>
    <font>
      <name val="游ゴシック"/>
      <charset val="128"/>
      <family val="3"/>
      <b val="1"/>
      <color theme="1"/>
      <sz val="16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3"/>
      <b val="1"/>
      <color theme="1"/>
      <sz val="12"/>
      <scheme val="minor"/>
    </font>
    <font>
      <name val="游ゴシック"/>
      <charset val="128"/>
      <family val="2"/>
      <color theme="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b val="1"/>
      <color theme="1"/>
      <sz val="10"/>
      <scheme val="minor"/>
    </font>
    <font>
      <name val="游ゴシック"/>
      <charset val="128"/>
      <family val="3"/>
      <color theme="1"/>
      <sz val="9"/>
      <scheme val="minor"/>
    </font>
    <font>
      <name val="メイリオ"/>
      <charset val="128"/>
      <family val="3"/>
      <color rgb="FF222222"/>
      <sz val="11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</fills>
  <borders count="36">
    <border>
      <left/>
      <right/>
      <top/>
      <bottom/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7" fillId="0" borderId="0" applyAlignment="1">
      <alignment vertical="center"/>
    </xf>
    <xf numFmtId="165" fontId="7" fillId="0" borderId="0" applyAlignment="1">
      <alignment vertical="center"/>
    </xf>
    <xf numFmtId="38" fontId="7" fillId="0" borderId="0" applyAlignment="1">
      <alignment vertical="center"/>
    </xf>
  </cellStyleXfs>
  <cellXfs count="99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56" fontId="7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7" fillId="0" borderId="8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left" vertical="center"/>
    </xf>
    <xf numFmtId="0" fontId="7" fillId="0" borderId="10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/>
    </xf>
    <xf numFmtId="165" fontId="3" fillId="0" borderId="12" applyAlignment="1" pivotButton="0" quotePrefix="0" xfId="1">
      <alignment horizontal="center" vertical="center"/>
    </xf>
    <xf numFmtId="0" fontId="3" fillId="2" borderId="1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165" fontId="3" fillId="0" borderId="19" applyAlignment="1" pivotButton="0" quotePrefix="0" xfId="1">
      <alignment horizontal="center" vertical="center"/>
    </xf>
    <xf numFmtId="166" fontId="4" fillId="0" borderId="14" applyAlignment="1" pivotButton="0" quotePrefix="0" xfId="1">
      <alignment horizontal="center" vertical="center"/>
    </xf>
    <xf numFmtId="166" fontId="4" fillId="0" borderId="13" applyAlignment="1" pivotButton="0" quotePrefix="0" xfId="1">
      <alignment horizontal="center" vertical="center"/>
    </xf>
    <xf numFmtId="166" fontId="4" fillId="0" borderId="20" applyAlignment="1" pivotButton="0" quotePrefix="0" xfId="1">
      <alignment horizontal="center" vertical="center"/>
    </xf>
    <xf numFmtId="166" fontId="4" fillId="0" borderId="22" applyAlignment="1" pivotButton="0" quotePrefix="0" xfId="1">
      <alignment horizontal="center" vertical="center"/>
    </xf>
    <xf numFmtId="0" fontId="0" fillId="0" borderId="8" applyAlignment="1" pivotButton="0" quotePrefix="0" xfId="0">
      <alignment horizontal="center" vertical="center" shrinkToFit="1"/>
    </xf>
    <xf numFmtId="165" fontId="4" fillId="0" borderId="19" applyAlignment="1" pivotButton="0" quotePrefix="0" xfId="0">
      <alignment horizontal="right" vertical="center"/>
    </xf>
    <xf numFmtId="0" fontId="7" fillId="0" borderId="8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165" fontId="6" fillId="0" borderId="0" applyAlignment="1" pivotButton="0" quotePrefix="0" xfId="1">
      <alignment vertical="center"/>
    </xf>
    <xf numFmtId="167" fontId="4" fillId="0" borderId="19" applyAlignment="1" pivotButton="0" quotePrefix="0" xfId="0">
      <alignment horizontal="right" vertical="center"/>
    </xf>
    <xf numFmtId="166" fontId="4" fillId="0" borderId="18" applyAlignment="1" pivotButton="0" quotePrefix="0" xfId="1">
      <alignment horizontal="right" vertical="center"/>
    </xf>
    <xf numFmtId="166" fontId="4" fillId="0" borderId="21" applyAlignment="1" pivotButton="0" quotePrefix="0" xfId="0">
      <alignment horizontal="right" vertical="center"/>
    </xf>
    <xf numFmtId="166" fontId="4" fillId="0" borderId="3" applyAlignment="1" pivotButton="0" quotePrefix="0" xfId="0">
      <alignment horizontal="right" vertical="center"/>
    </xf>
    <xf numFmtId="165" fontId="5" fillId="0" borderId="1" applyAlignment="1" pivotButton="0" quotePrefix="0" xfId="1">
      <alignment horizontal="center" vertical="center"/>
    </xf>
    <xf numFmtId="0" fontId="3" fillId="0" borderId="19" applyAlignment="1" pivotButton="0" quotePrefix="0" xfId="1">
      <alignment horizontal="center" vertical="center"/>
    </xf>
    <xf numFmtId="38" fontId="4" fillId="0" borderId="18" applyAlignment="1" pivotButton="0" quotePrefix="0" xfId="2">
      <alignment horizontal="right" vertical="center"/>
    </xf>
    <xf numFmtId="38" fontId="4" fillId="0" borderId="21" applyAlignment="1" pivotButton="0" quotePrefix="0" xfId="2">
      <alignment horizontal="right" vertical="center"/>
    </xf>
    <xf numFmtId="38" fontId="4" fillId="0" borderId="3" applyAlignment="1" pivotButton="0" quotePrefix="0" xfId="2">
      <alignment horizontal="right" vertical="center"/>
    </xf>
    <xf numFmtId="38" fontId="4" fillId="0" borderId="19" applyAlignment="1" pivotButton="0" quotePrefix="0" xfId="2">
      <alignment horizontal="right" vertical="center"/>
    </xf>
    <xf numFmtId="0" fontId="1" fillId="0" borderId="8" applyAlignment="1" pivotButton="0" quotePrefix="0" xfId="0">
      <alignment horizontal="center" vertical="center"/>
    </xf>
    <xf numFmtId="56" fontId="0" fillId="0" borderId="8" applyAlignment="1" pivotButton="0" quotePrefix="0" xfId="0">
      <alignment horizontal="left" vertical="center"/>
    </xf>
    <xf numFmtId="165" fontId="7" fillId="0" borderId="8" applyAlignment="1" pivotButton="0" quotePrefix="0" xfId="0">
      <alignment horizontal="right" vertical="center"/>
    </xf>
    <xf numFmtId="165" fontId="10" fillId="0" borderId="8" applyAlignment="1" pivotButton="0" quotePrefix="0" xfId="2">
      <alignment horizontal="right" vertical="center"/>
    </xf>
    <xf numFmtId="165" fontId="7" fillId="0" borderId="8" applyAlignment="1" pivotButton="0" quotePrefix="0" xfId="2">
      <alignment horizontal="right" vertical="center"/>
    </xf>
    <xf numFmtId="165" fontId="1" fillId="0" borderId="8" applyAlignment="1" pivotButton="0" quotePrefix="0" xfId="2">
      <alignment horizontal="right" vertical="center"/>
    </xf>
    <xf numFmtId="165" fontId="1" fillId="0" borderId="11" applyAlignment="1" pivotButton="0" quotePrefix="0" xfId="2">
      <alignment horizontal="right" vertical="center"/>
    </xf>
    <xf numFmtId="0" fontId="12" fillId="0" borderId="8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0" fontId="11" fillId="0" borderId="23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0" fontId="11" fillId="0" borderId="25" applyAlignment="1" pivotButton="0" quotePrefix="0" xfId="0">
      <alignment horizontal="center" vertical="center"/>
    </xf>
    <xf numFmtId="165" fontId="8" fillId="0" borderId="28" applyAlignment="1" pivotButton="0" quotePrefix="0" xfId="1">
      <alignment horizontal="center" vertical="center"/>
    </xf>
    <xf numFmtId="165" fontId="8" fillId="0" borderId="2" applyAlignment="1" pivotButton="0" quotePrefix="0" xfId="1">
      <alignment horizontal="center" vertical="center"/>
    </xf>
    <xf numFmtId="165" fontId="4" fillId="0" borderId="7" applyAlignment="1" pivotButton="0" quotePrefix="0" xfId="1">
      <alignment horizontal="center" vertical="center"/>
    </xf>
    <xf numFmtId="0" fontId="11" fillId="2" borderId="23" applyAlignment="1" pivotButton="0" quotePrefix="0" xfId="0">
      <alignment horizontal="center" vertical="center"/>
    </xf>
    <xf numFmtId="0" fontId="11" fillId="2" borderId="24" applyAlignment="1" pivotButton="0" quotePrefix="0" xfId="0">
      <alignment horizontal="center" vertical="center"/>
    </xf>
    <xf numFmtId="0" fontId="11" fillId="2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11" fillId="3" borderId="23" applyAlignment="1" pivotButton="0" quotePrefix="0" xfId="0">
      <alignment horizontal="center" vertical="center"/>
    </xf>
    <xf numFmtId="0" fontId="11" fillId="3" borderId="24" applyAlignment="1" pivotButton="0" quotePrefix="0" xfId="0">
      <alignment horizontal="center" vertical="center"/>
    </xf>
    <xf numFmtId="0" fontId="11" fillId="3" borderId="25" applyAlignment="1" pivotButton="0" quotePrefix="0" xfId="0">
      <alignment horizontal="center" vertical="center"/>
    </xf>
    <xf numFmtId="165" fontId="8" fillId="2" borderId="16" applyAlignment="1" pivotButton="0" quotePrefix="0" xfId="1">
      <alignment horizontal="center" vertical="center"/>
    </xf>
    <xf numFmtId="165" fontId="8" fillId="2" borderId="17" applyAlignment="1" pivotButton="0" quotePrefix="0" xfId="1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0" fillId="0" borderId="0" pivotButton="0" quotePrefix="0" xfId="0"/>
    <xf numFmtId="165" fontId="4" fillId="0" borderId="7" applyAlignment="1" pivotButton="0" quotePrefix="0" xfId="1">
      <alignment horizontal="center" vertical="center"/>
    </xf>
    <xf numFmtId="0" fontId="0" fillId="0" borderId="7" pivotButton="0" quotePrefix="0" xfId="0"/>
    <xf numFmtId="165" fontId="3" fillId="0" borderId="12" applyAlignment="1" pivotButton="0" quotePrefix="0" xfId="1">
      <alignment horizontal="center" vertical="center"/>
    </xf>
    <xf numFmtId="165" fontId="3" fillId="0" borderId="19" applyAlignment="1" pivotButton="0" quotePrefix="0" xfId="1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165" fontId="5" fillId="0" borderId="1" applyAlignment="1" pivotButton="0" quotePrefix="0" xfId="1">
      <alignment horizontal="center" vertical="center"/>
    </xf>
    <xf numFmtId="165" fontId="8" fillId="0" borderId="28" applyAlignment="1" pivotButton="0" quotePrefix="0" xfId="1">
      <alignment horizontal="center" vertical="center"/>
    </xf>
    <xf numFmtId="166" fontId="4" fillId="0" borderId="13" applyAlignment="1" pivotButton="0" quotePrefix="0" xfId="1">
      <alignment horizontal="center" vertical="center"/>
    </xf>
    <xf numFmtId="166" fontId="4" fillId="0" borderId="18" applyAlignment="1" pivotButton="0" quotePrefix="0" xfId="1">
      <alignment horizontal="right" vertical="center"/>
    </xf>
    <xf numFmtId="0" fontId="11" fillId="0" borderId="1" applyAlignment="1" pivotButton="0" quotePrefix="0" xfId="0">
      <alignment horizontal="center" vertical="center"/>
    </xf>
    <xf numFmtId="166" fontId="4" fillId="0" borderId="20" applyAlignment="1" pivotButton="0" quotePrefix="0" xfId="1">
      <alignment horizontal="center" vertical="center"/>
    </xf>
    <xf numFmtId="166" fontId="4" fillId="0" borderId="21" applyAlignment="1" pivotButton="0" quotePrefix="0" xfId="0">
      <alignment horizontal="right" vertical="center"/>
    </xf>
    <xf numFmtId="165" fontId="6" fillId="0" borderId="0" applyAlignment="1" pivotButton="0" quotePrefix="0" xfId="1">
      <alignment vertical="center"/>
    </xf>
    <xf numFmtId="166" fontId="4" fillId="0" borderId="22" applyAlignment="1" pivotButton="0" quotePrefix="0" xfId="1">
      <alignment horizontal="center" vertical="center"/>
    </xf>
    <xf numFmtId="166" fontId="4" fillId="0" borderId="3" applyAlignment="1" pivotButton="0" quotePrefix="0" xfId="0">
      <alignment horizontal="right" vertical="center"/>
    </xf>
    <xf numFmtId="0" fontId="11" fillId="3" borderId="1" applyAlignment="1" pivotButton="0" quotePrefix="0" xfId="0">
      <alignment horizontal="center" vertical="center"/>
    </xf>
    <xf numFmtId="165" fontId="8" fillId="2" borderId="16" applyAlignment="1" pivotButton="0" quotePrefix="0" xfId="1">
      <alignment horizontal="center" vertical="center"/>
    </xf>
    <xf numFmtId="0" fontId="0" fillId="0" borderId="16" pivotButton="0" quotePrefix="0" xfId="0"/>
    <xf numFmtId="166" fontId="4" fillId="0" borderId="14" applyAlignment="1" pivotButton="0" quotePrefix="0" xfId="1">
      <alignment horizontal="center" vertical="center"/>
    </xf>
    <xf numFmtId="165" fontId="4" fillId="0" borderId="19" applyAlignment="1" pivotButton="0" quotePrefix="0" xfId="0">
      <alignment horizontal="right" vertical="center"/>
    </xf>
    <xf numFmtId="167" fontId="4" fillId="0" borderId="19" applyAlignment="1" pivotButton="0" quotePrefix="0" xfId="0">
      <alignment horizontal="right" vertical="center"/>
    </xf>
    <xf numFmtId="164" fontId="7" fillId="0" borderId="0" applyAlignment="1" pivotButton="0" quotePrefix="0" xfId="0">
      <alignment vertical="center"/>
    </xf>
    <xf numFmtId="0" fontId="0" fillId="0" borderId="27" pivotButton="0" quotePrefix="0" xfId="0"/>
    <xf numFmtId="165" fontId="7" fillId="0" borderId="8" applyAlignment="1" pivotButton="0" quotePrefix="0" xfId="0">
      <alignment horizontal="right" vertical="center"/>
    </xf>
    <xf numFmtId="165" fontId="7" fillId="0" borderId="8" applyAlignment="1" pivotButton="0" quotePrefix="0" xfId="2">
      <alignment horizontal="right" vertical="center"/>
    </xf>
    <xf numFmtId="165" fontId="10" fillId="0" borderId="8" applyAlignment="1" pivotButton="0" quotePrefix="0" xfId="2">
      <alignment horizontal="right" vertical="center"/>
    </xf>
    <xf numFmtId="165" fontId="1" fillId="0" borderId="8" applyAlignment="1" pivotButton="0" quotePrefix="0" xfId="2">
      <alignment horizontal="right" vertical="center"/>
    </xf>
    <xf numFmtId="165" fontId="1" fillId="0" borderId="11" applyAlignment="1" pivotButton="0" quotePrefix="0" xfId="2">
      <alignment horizontal="right" vertical="center"/>
    </xf>
  </cellXfs>
  <cellStyles count="3">
    <cellStyle name="標準" xfId="0" builtinId="0"/>
    <cellStyle name="通貨" xfId="1" builtinId="7"/>
    <cellStyle name="桁区切り" xfId="2" builtinId="6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"/>
  <sheetViews>
    <sheetView view="pageBreakPreview" zoomScaleNormal="85" zoomScaleSheetLayoutView="100" workbookViewId="0">
      <pane xSplit="1" ySplit="8" topLeftCell="B9" activePane="bottomRight" state="frozen"/>
      <selection activeCell="A2" sqref="A2"/>
      <selection pane="topRight" activeCell="A2" sqref="A2"/>
      <selection pane="bottomLeft" activeCell="A2" sqref="A2"/>
      <selection pane="bottomRight" activeCell="E12" sqref="E12"/>
    </sheetView>
  </sheetViews>
  <sheetFormatPr baseColWidth="8" defaultRowHeight="18.75"/>
  <cols>
    <col width="4.375" customWidth="1" style="6" min="1" max="1"/>
    <col width="7.125" customWidth="1" style="6" min="2" max="2"/>
    <col width="10.625" customWidth="1" style="6" min="3" max="3"/>
    <col width="10.25" bestFit="1" customWidth="1" style="6" min="4" max="4"/>
    <col width="36.375" customWidth="1" style="6" min="5" max="5"/>
    <col width="5.375" customWidth="1" style="6" min="6" max="6"/>
    <col width="15.5" customWidth="1" style="6" min="7" max="7"/>
    <col width="22.5" customWidth="1" style="6" min="8" max="8"/>
    <col width="5.625" customWidth="1" style="6" min="9" max="9"/>
    <col width="10.625" customWidth="1" style="6" min="10" max="10"/>
    <col width="14.125" customWidth="1" style="6" min="11" max="11"/>
    <col width="10.625" customWidth="1" style="6" min="12" max="12"/>
    <col width="14" customWidth="1" style="6" min="13" max="13"/>
    <col width="10.625" customWidth="1" style="6" min="14" max="14"/>
    <col width="14.125" customWidth="1" style="6" min="15" max="15"/>
    <col width="9" customWidth="1" style="6" min="16" max="16384"/>
  </cols>
  <sheetData>
    <row r="1" ht="34.5" customHeight="1" s="68" thickBot="1">
      <c r="A1" s="1" t="inlineStr">
        <is>
          <t>36期　広告予算管理表</t>
        </is>
      </c>
      <c r="E1" s="0" t="inlineStr">
        <is>
          <t>※毎月20日〆</t>
        </is>
      </c>
    </row>
    <row r="2" ht="26.25" customHeight="1" s="68" thickBot="1">
      <c r="A2" s="1" t="n"/>
      <c r="G2" s="2" t="inlineStr">
        <is>
          <t>各月</t>
        </is>
      </c>
      <c r="H2" s="69" t="inlineStr">
        <is>
          <t>使用額</t>
        </is>
      </c>
      <c r="I2" s="70" t="n"/>
      <c r="J2" s="71" t="inlineStr">
        <is>
          <t>取得名簿数</t>
        </is>
      </c>
      <c r="K2" s="35" t="inlineStr">
        <is>
          <t>名簿単価</t>
        </is>
      </c>
      <c r="L2" s="71" t="inlineStr">
        <is>
          <t>来場数</t>
        </is>
      </c>
      <c r="M2" s="72" t="inlineStr">
        <is>
          <t>来場単価</t>
        </is>
      </c>
      <c r="N2" s="71" t="inlineStr">
        <is>
          <t>契約数</t>
        </is>
      </c>
      <c r="O2" s="72" t="inlineStr">
        <is>
          <t>契約単価</t>
        </is>
      </c>
    </row>
    <row r="3" ht="26.25" customHeight="1" s="68" thickBot="1">
      <c r="A3" s="5" t="n"/>
      <c r="B3" s="73" t="inlineStr">
        <is>
          <t>第1四半期　支給予算額</t>
        </is>
      </c>
      <c r="C3" s="74" t="n"/>
      <c r="D3" s="75" t="n"/>
      <c r="E3" s="76" t="n"/>
      <c r="G3" s="2" t="inlineStr">
        <is>
          <t>4月使用</t>
        </is>
      </c>
      <c r="H3" s="77">
        <f>SUMIF($B$10:$B$81,"4月",J10:J33)</f>
        <v/>
      </c>
      <c r="I3" s="70" t="n"/>
      <c r="J3" s="78" t="n"/>
      <c r="K3" s="36">
        <f>H3/J3</f>
        <v/>
      </c>
      <c r="L3" s="78" t="n"/>
      <c r="M3" s="79">
        <f>H3/L3</f>
        <v/>
      </c>
      <c r="N3" s="78" t="n"/>
      <c r="O3" s="79">
        <f>H3/N3</f>
        <v/>
      </c>
    </row>
    <row r="4" ht="26.25" customHeight="1" s="68" thickBot="1">
      <c r="A4" s="5" t="n"/>
      <c r="B4" s="80" t="inlineStr">
        <is>
          <t>第1四半期　広告宣伝費使用額</t>
        </is>
      </c>
      <c r="C4" s="74" t="n"/>
      <c r="D4" s="75" t="n"/>
      <c r="E4" s="76">
        <f>SUMIF($C$9:$C$194,"広告宣伝費",$J$9:$J$194)</f>
        <v/>
      </c>
      <c r="G4" s="3" t="inlineStr">
        <is>
          <t>5月使用</t>
        </is>
      </c>
      <c r="H4" s="77">
        <f>SUMIF($B$10:$B$81,"5月",J10:J34)</f>
        <v/>
      </c>
      <c r="I4" s="70" t="n"/>
      <c r="J4" s="81" t="n"/>
      <c r="K4" s="37">
        <f>H4/J4</f>
        <v/>
      </c>
      <c r="L4" s="81" t="n"/>
      <c r="M4" s="82">
        <f>H4/L4</f>
        <v/>
      </c>
      <c r="N4" s="81" t="n"/>
      <c r="O4" s="82">
        <f>H4/N4</f>
        <v/>
      </c>
    </row>
    <row r="5" ht="26.25" customHeight="1" s="68" thickBot="1">
      <c r="A5" s="5" t="n"/>
      <c r="B5" s="80" t="inlineStr">
        <is>
          <t>第1四半期　販売促進費使用額</t>
        </is>
      </c>
      <c r="C5" s="74" t="n"/>
      <c r="D5" s="75" t="n"/>
      <c r="E5" s="76">
        <f>SUMIF($C$9:$C$194,"販促費",$J$9:$J$194)</f>
        <v/>
      </c>
      <c r="F5" s="83" t="n"/>
      <c r="G5" s="19" t="inlineStr">
        <is>
          <t>6月使用</t>
        </is>
      </c>
      <c r="H5" s="77">
        <f>SUMIF($B$10:$B$81,"6月",J10:J35)</f>
        <v/>
      </c>
      <c r="I5" s="70" t="n"/>
      <c r="J5" s="84" t="n"/>
      <c r="K5" s="38">
        <f>H5/J5</f>
        <v/>
      </c>
      <c r="L5" s="84" t="n"/>
      <c r="M5" s="85">
        <f>H5/L5</f>
        <v/>
      </c>
      <c r="N5" s="84" t="n"/>
      <c r="O5" s="85">
        <f>H5/N5</f>
        <v/>
      </c>
    </row>
    <row r="6" ht="26.25" customHeight="1" s="68" thickBot="1">
      <c r="A6" s="5" t="n"/>
      <c r="B6" s="86" t="inlineStr">
        <is>
          <t>第1四半期　残予算額</t>
        </is>
      </c>
      <c r="C6" s="74" t="n"/>
      <c r="D6" s="75" t="n"/>
      <c r="E6" s="76">
        <f>E3-E4-E5</f>
        <v/>
      </c>
      <c r="F6" s="83" t="n"/>
      <c r="G6" s="18" t="inlineStr">
        <is>
          <t>使用合計</t>
        </is>
      </c>
      <c r="H6" s="87">
        <f>SUM(H3:H5)</f>
        <v/>
      </c>
      <c r="I6" s="88" t="n"/>
      <c r="J6" s="89">
        <f>SUM(J3:J5)</f>
        <v/>
      </c>
      <c r="K6" s="39">
        <f>H6/J6</f>
        <v/>
      </c>
      <c r="L6" s="89">
        <f>SUM(L3:L5)</f>
        <v/>
      </c>
      <c r="M6" s="90">
        <f>H6/L6</f>
        <v/>
      </c>
      <c r="N6" s="89">
        <f>SUM(N3:N5)</f>
        <v/>
      </c>
      <c r="O6" s="91">
        <f>H6/N6</f>
        <v/>
      </c>
    </row>
    <row r="7">
      <c r="A7" s="65" t="n"/>
      <c r="C7" s="65" t="n"/>
      <c r="D7" s="65" t="n"/>
      <c r="E7" s="7" t="n"/>
      <c r="J7" s="8" t="n"/>
      <c r="L7" s="92" t="n"/>
    </row>
    <row r="8" customFormat="1" s="11">
      <c r="A8" s="10" t="inlineStr">
        <is>
          <t>No.</t>
        </is>
      </c>
      <c r="B8" s="10" t="inlineStr">
        <is>
          <t>発生月</t>
        </is>
      </c>
      <c r="C8" s="15" t="inlineStr">
        <is>
          <t>部門</t>
        </is>
      </c>
      <c r="D8" s="15" t="inlineStr">
        <is>
          <t>内訳</t>
        </is>
      </c>
      <c r="E8" s="10" t="inlineStr">
        <is>
          <t>予算内容</t>
        </is>
      </c>
      <c r="F8" s="10" t="inlineStr">
        <is>
          <t>コード(ﾁﾗｼ/DM)</t>
        </is>
      </c>
      <c r="G8" s="93" t="n"/>
      <c r="H8" s="10" t="inlineStr">
        <is>
          <t>発注先</t>
        </is>
      </c>
      <c r="I8" s="10" t="inlineStr">
        <is>
          <t>決済</t>
        </is>
      </c>
      <c r="J8" s="10" t="inlineStr">
        <is>
          <t>購入金額</t>
        </is>
      </c>
      <c r="K8" s="10" t="inlineStr">
        <is>
          <t>残予算額</t>
        </is>
      </c>
      <c r="L8" s="10" t="inlineStr">
        <is>
          <t>備考</t>
        </is>
      </c>
    </row>
    <row r="9" customFormat="1" s="11">
      <c r="A9" s="10" t="n"/>
      <c r="B9" s="10" t="n"/>
      <c r="C9" s="15" t="n"/>
      <c r="D9" s="15" t="n"/>
      <c r="E9" s="10" t="n"/>
      <c r="F9" s="10" t="n"/>
      <c r="G9" s="93" t="n"/>
      <c r="H9" s="10" t="n"/>
      <c r="I9" s="10" t="n"/>
      <c r="J9" s="94" t="n"/>
      <c r="K9" s="94">
        <f>E3</f>
        <v/>
      </c>
      <c r="L9" s="10" t="n"/>
    </row>
    <row r="10">
      <c r="A10" s="10" t="n">
        <v>1</v>
      </c>
      <c r="B10" s="15" t="n"/>
      <c r="C10" s="15" t="n"/>
      <c r="D10" s="15" t="n"/>
      <c r="E10" s="47" t="n"/>
      <c r="F10" s="15" t="n"/>
      <c r="G10" s="93" t="n"/>
      <c r="H10" s="25" t="n"/>
      <c r="I10" s="15" t="n"/>
      <c r="J10" s="95" t="n"/>
      <c r="K10" s="96">
        <f>K9-J10</f>
        <v/>
      </c>
      <c r="L10" s="10" t="n"/>
    </row>
    <row r="11">
      <c r="A11" s="10" t="n">
        <v>2</v>
      </c>
      <c r="B11" s="15" t="n"/>
      <c r="C11" s="15" t="n"/>
      <c r="D11" s="15" t="n"/>
      <c r="E11" s="4" t="n"/>
      <c r="F11" s="15" t="n"/>
      <c r="G11" s="93" t="n"/>
      <c r="H11" s="25" t="n"/>
      <c r="I11" s="15" t="n"/>
      <c r="J11" s="95" t="n"/>
      <c r="K11" s="96">
        <f>K10-J11</f>
        <v/>
      </c>
      <c r="L11" s="10" t="n"/>
    </row>
    <row r="12">
      <c r="A12" s="10" t="n">
        <v>3</v>
      </c>
      <c r="B12" s="15" t="n"/>
      <c r="C12" s="15" t="n"/>
      <c r="D12" s="15" t="n"/>
      <c r="E12" s="16" t="n"/>
      <c r="F12" s="15" t="n"/>
      <c r="G12" s="93" t="n"/>
      <c r="H12" s="25" t="n"/>
      <c r="I12" s="15" t="n"/>
      <c r="J12" s="95" t="n"/>
      <c r="K12" s="96">
        <f>K11-J12</f>
        <v/>
      </c>
      <c r="L12" s="10" t="n"/>
    </row>
    <row r="13">
      <c r="A13" s="10" t="n">
        <v>4</v>
      </c>
      <c r="B13" s="15" t="n"/>
      <c r="C13" s="15" t="n"/>
      <c r="D13" s="15" t="n"/>
      <c r="E13" s="48" t="n"/>
      <c r="F13" s="15" t="n"/>
      <c r="G13" s="93" t="n"/>
      <c r="H13" s="25" t="n"/>
      <c r="I13" s="15" t="n"/>
      <c r="J13" s="95" t="n"/>
      <c r="K13" s="96">
        <f>K12-J13</f>
        <v/>
      </c>
      <c r="L13" s="10" t="n"/>
    </row>
    <row r="14">
      <c r="A14" s="10" t="n">
        <v>5</v>
      </c>
      <c r="B14" s="15" t="n"/>
      <c r="C14" s="15" t="n"/>
      <c r="D14" s="15" t="n"/>
      <c r="E14" s="16" t="n"/>
      <c r="F14" s="15" t="n"/>
      <c r="G14" s="93" t="n"/>
      <c r="H14" s="25" t="n"/>
      <c r="I14" s="15" t="n"/>
      <c r="J14" s="95" t="n"/>
      <c r="K14" s="96">
        <f>K13-J14</f>
        <v/>
      </c>
      <c r="L14" s="10" t="n"/>
    </row>
    <row r="15">
      <c r="A15" s="10" t="n">
        <v>6</v>
      </c>
      <c r="B15" s="15" t="n"/>
      <c r="C15" s="15" t="n"/>
      <c r="D15" s="15" t="n"/>
      <c r="E15" s="16" t="n"/>
      <c r="F15" s="15" t="n"/>
      <c r="G15" s="93" t="n"/>
      <c r="H15" s="25" t="n"/>
      <c r="I15" s="15" t="n"/>
      <c r="J15" s="97" t="n"/>
      <c r="K15" s="96">
        <f>K14-J15</f>
        <v/>
      </c>
      <c r="L15" s="10" t="n"/>
    </row>
    <row r="16">
      <c r="A16" s="10" t="n">
        <v>7</v>
      </c>
      <c r="B16" s="15" t="n"/>
      <c r="C16" s="15" t="n"/>
      <c r="D16" s="15" t="n"/>
      <c r="E16" s="16" t="n"/>
      <c r="F16" s="15" t="n"/>
      <c r="G16" s="93" t="n"/>
      <c r="H16" s="25" t="n"/>
      <c r="I16" s="15" t="n"/>
      <c r="J16" s="97" t="n"/>
      <c r="K16" s="96">
        <f>K15-J16</f>
        <v/>
      </c>
      <c r="L16" s="10" t="n"/>
    </row>
    <row r="17">
      <c r="A17" s="10" t="n">
        <v>8</v>
      </c>
      <c r="B17" s="15" t="n"/>
      <c r="C17" s="15" t="n"/>
      <c r="D17" s="15" t="n"/>
      <c r="E17" s="16" t="n"/>
      <c r="F17" s="15" t="n"/>
      <c r="G17" s="93" t="n"/>
      <c r="H17" s="25" t="n"/>
      <c r="I17" s="15" t="n"/>
      <c r="J17" s="95" t="n"/>
      <c r="K17" s="96">
        <f>K16-J17</f>
        <v/>
      </c>
      <c r="L17" s="10" t="n"/>
    </row>
    <row r="18">
      <c r="A18" s="10" t="n">
        <v>9</v>
      </c>
      <c r="B18" s="15" t="n"/>
      <c r="C18" s="15" t="n"/>
      <c r="D18" s="15" t="n"/>
      <c r="E18" s="16" t="n"/>
      <c r="F18" s="15" t="n"/>
      <c r="G18" s="93" t="n"/>
      <c r="H18" s="25" t="n"/>
      <c r="I18" s="15" t="n"/>
      <c r="J18" s="97" t="n"/>
      <c r="K18" s="96">
        <f>K17-J18</f>
        <v/>
      </c>
      <c r="L18" s="10" t="n"/>
    </row>
    <row r="19">
      <c r="A19" s="12" t="n">
        <v>10</v>
      </c>
      <c r="B19" s="15" t="n"/>
      <c r="C19" s="15" t="n"/>
      <c r="D19" s="15" t="n"/>
      <c r="E19" s="16" t="n"/>
      <c r="F19" s="15" t="n"/>
      <c r="G19" s="93" t="n"/>
      <c r="H19" s="25" t="n"/>
      <c r="I19" s="15" t="n"/>
      <c r="J19" s="97" t="n"/>
      <c r="K19" s="96">
        <f>K18-J19</f>
        <v/>
      </c>
      <c r="L19" s="12" t="n"/>
    </row>
    <row r="20">
      <c r="A20" s="10" t="n">
        <v>11</v>
      </c>
      <c r="B20" s="15" t="n"/>
      <c r="C20" s="15" t="n"/>
      <c r="D20" s="15" t="n"/>
      <c r="E20" s="16" t="n"/>
      <c r="F20" s="15" t="n"/>
      <c r="G20" s="93" t="n"/>
      <c r="H20" s="25" t="n"/>
      <c r="I20" s="15" t="n"/>
      <c r="J20" s="95" t="n"/>
      <c r="K20" s="96">
        <f>K19-J20</f>
        <v/>
      </c>
      <c r="L20" s="12" t="n"/>
    </row>
    <row r="21">
      <c r="A21" s="10" t="n">
        <v>12</v>
      </c>
      <c r="B21" s="15" t="n"/>
      <c r="C21" s="10" t="n"/>
      <c r="D21" s="40" t="n"/>
      <c r="E21" s="41" t="n"/>
      <c r="F21" s="15" t="n"/>
      <c r="G21" s="93" t="n"/>
      <c r="H21" s="25" t="n"/>
      <c r="I21" s="40" t="n"/>
      <c r="J21" s="97" t="n"/>
      <c r="K21" s="96">
        <f>K20-J21</f>
        <v/>
      </c>
      <c r="L21" s="10" t="n"/>
    </row>
    <row r="22">
      <c r="A22" s="10" t="n">
        <v>13</v>
      </c>
      <c r="B22" s="15" t="n"/>
      <c r="C22" s="10" t="n"/>
      <c r="D22" s="10" t="n"/>
      <c r="E22" s="41" t="n"/>
      <c r="F22" s="15" t="n"/>
      <c r="G22" s="93" t="n"/>
      <c r="H22" s="25" t="n"/>
      <c r="I22" s="40" t="n"/>
      <c r="J22" s="95" t="n"/>
      <c r="K22" s="96">
        <f>K21-J22</f>
        <v/>
      </c>
      <c r="L22" s="10" t="n"/>
    </row>
    <row r="23">
      <c r="A23" s="10" t="n">
        <v>14</v>
      </c>
      <c r="B23" s="15" t="n"/>
      <c r="C23" s="10" t="n"/>
      <c r="D23" s="10" t="n"/>
      <c r="E23" s="16" t="n"/>
      <c r="F23" s="15" t="n"/>
      <c r="G23" s="93" t="n"/>
      <c r="H23" s="25" t="n"/>
      <c r="I23" s="40" t="n"/>
      <c r="J23" s="95" t="n"/>
      <c r="K23" s="96">
        <f>K22-J23</f>
        <v/>
      </c>
      <c r="L23" s="10" t="n"/>
    </row>
    <row r="24">
      <c r="A24" s="10" t="n">
        <v>15</v>
      </c>
      <c r="B24" s="15" t="n"/>
      <c r="C24" s="10" t="n"/>
      <c r="D24" s="40" t="n"/>
      <c r="E24" s="16" t="n"/>
      <c r="F24" s="15" t="n"/>
      <c r="G24" s="93" t="n"/>
      <c r="H24" s="25" t="n"/>
      <c r="I24" s="40" t="n"/>
      <c r="J24" s="98" t="n"/>
      <c r="K24" s="96">
        <f>K23-J24</f>
        <v/>
      </c>
      <c r="L24" s="10" t="n"/>
    </row>
    <row r="25">
      <c r="A25" s="10" t="n">
        <v>16</v>
      </c>
      <c r="B25" s="15" t="n"/>
      <c r="C25" s="10" t="n"/>
      <c r="D25" s="40" t="n"/>
      <c r="E25" s="16" t="n"/>
      <c r="F25" s="15" t="n"/>
      <c r="G25" s="93" t="n"/>
      <c r="H25" s="25" t="n"/>
      <c r="I25" s="40" t="n"/>
      <c r="J25" s="95" t="n"/>
      <c r="K25" s="96">
        <f>K24-J25</f>
        <v/>
      </c>
      <c r="L25" s="10" t="n"/>
    </row>
    <row r="26">
      <c r="A26" s="10" t="n">
        <v>17</v>
      </c>
      <c r="B26" s="15" t="n"/>
      <c r="C26" s="10" t="n"/>
      <c r="D26" s="15" t="n"/>
      <c r="E26" s="16" t="n"/>
      <c r="F26" s="15" t="n"/>
      <c r="G26" s="93" t="n"/>
      <c r="H26" s="25" t="n"/>
      <c r="I26" s="40" t="n"/>
      <c r="J26" s="95" t="n"/>
      <c r="K26" s="96">
        <f>K25-J26</f>
        <v/>
      </c>
      <c r="L26" s="10" t="n"/>
    </row>
    <row r="27">
      <c r="A27" s="10" t="n">
        <v>18</v>
      </c>
      <c r="B27" s="15" t="n"/>
      <c r="C27" s="10" t="n"/>
      <c r="D27" s="40" t="n"/>
      <c r="E27" s="16" t="n"/>
      <c r="F27" s="15" t="n"/>
      <c r="G27" s="93" t="n"/>
      <c r="H27" s="25" t="n"/>
      <c r="I27" s="40" t="n"/>
      <c r="J27" s="95" t="n"/>
      <c r="K27" s="96">
        <f>K26-J27</f>
        <v/>
      </c>
      <c r="L27" s="10" t="n"/>
    </row>
    <row r="28">
      <c r="A28" s="10" t="n">
        <v>19</v>
      </c>
      <c r="B28" s="15" t="n"/>
      <c r="C28" s="10" t="n"/>
      <c r="D28" s="40" t="n"/>
      <c r="E28" s="16" t="n"/>
      <c r="F28" s="15" t="n"/>
      <c r="G28" s="93" t="n"/>
      <c r="H28" s="25" t="n"/>
      <c r="I28" s="40" t="n"/>
      <c r="J28" s="95" t="n"/>
      <c r="K28" s="96">
        <f>K27-J28</f>
        <v/>
      </c>
      <c r="L28" s="10" t="n"/>
    </row>
    <row r="29">
      <c r="A29" s="10" t="n">
        <v>20</v>
      </c>
      <c r="B29" s="15" t="n"/>
      <c r="C29" s="10" t="n"/>
      <c r="D29" s="40" t="n"/>
      <c r="E29" s="16" t="n"/>
      <c r="F29" s="15" t="n"/>
      <c r="G29" s="93" t="n"/>
      <c r="H29" s="25" t="n"/>
      <c r="I29" s="40" t="n"/>
      <c r="J29" s="95" t="n"/>
      <c r="K29" s="96">
        <f>K28-J29</f>
        <v/>
      </c>
      <c r="L29" s="14" t="n"/>
    </row>
    <row r="30">
      <c r="A30" s="12" t="n">
        <v>21</v>
      </c>
      <c r="B30" s="15" t="n"/>
      <c r="C30" s="10" t="n"/>
      <c r="D30" s="10" t="n"/>
      <c r="E30" s="41" t="n"/>
      <c r="F30" s="15" t="n"/>
      <c r="G30" s="93" t="n"/>
      <c r="H30" s="25" t="n"/>
      <c r="I30" s="40" t="n"/>
      <c r="J30" s="95" t="n"/>
      <c r="K30" s="96">
        <f>K29-J30</f>
        <v/>
      </c>
      <c r="L30" s="10" t="n"/>
    </row>
    <row r="31">
      <c r="A31" s="10" t="n">
        <v>22</v>
      </c>
      <c r="B31" s="15" t="n"/>
      <c r="C31" s="10" t="n"/>
      <c r="D31" s="10" t="n"/>
      <c r="E31" s="16" t="n"/>
      <c r="F31" s="15" t="n"/>
      <c r="G31" s="93" t="n"/>
      <c r="H31" s="25" t="n"/>
      <c r="I31" s="10" t="n"/>
      <c r="J31" s="95" t="n"/>
      <c r="K31" s="96">
        <f>K30-J31</f>
        <v/>
      </c>
      <c r="L31" s="10" t="n"/>
    </row>
    <row r="32">
      <c r="A32" s="10" t="n">
        <v>23</v>
      </c>
      <c r="B32" s="15" t="n"/>
      <c r="C32" s="10" t="n"/>
      <c r="D32" s="10" t="n"/>
      <c r="E32" s="16" t="n"/>
      <c r="F32" s="15" t="n"/>
      <c r="G32" s="93" t="n"/>
      <c r="H32" s="25" t="n"/>
      <c r="I32" s="10" t="n"/>
      <c r="J32" s="95" t="n"/>
      <c r="K32" s="96">
        <f>K31-J32</f>
        <v/>
      </c>
      <c r="L32" s="10" t="n"/>
    </row>
    <row r="33">
      <c r="A33" s="10" t="n">
        <v>24</v>
      </c>
      <c r="B33" s="15" t="n"/>
      <c r="C33" s="10" t="n"/>
      <c r="D33" s="10" t="n"/>
      <c r="E33" s="16" t="n"/>
      <c r="F33" s="15" t="n"/>
      <c r="G33" s="93" t="n"/>
      <c r="H33" s="25" t="n"/>
      <c r="I33" s="10" t="n"/>
      <c r="J33" s="95" t="n"/>
      <c r="K33" s="96">
        <f>K32-J33</f>
        <v/>
      </c>
      <c r="L33" s="10" t="n"/>
    </row>
    <row r="34">
      <c r="A34" s="10" t="n">
        <v>25</v>
      </c>
      <c r="B34" s="15" t="n"/>
      <c r="C34" s="10" t="n"/>
      <c r="D34" s="10" t="n"/>
      <c r="E34" s="16" t="n"/>
      <c r="F34" s="15" t="n"/>
      <c r="G34" s="93" t="n"/>
      <c r="H34" s="25" t="n"/>
      <c r="I34" s="10" t="n"/>
      <c r="J34" s="95" t="n"/>
      <c r="K34" s="96">
        <f>K33-J34</f>
        <v/>
      </c>
      <c r="L34" s="10" t="n"/>
    </row>
    <row r="35">
      <c r="A35" s="10" t="n">
        <v>26</v>
      </c>
      <c r="B35" s="15" t="n"/>
      <c r="C35" s="10" t="n"/>
      <c r="D35" s="10" t="n"/>
      <c r="E35" s="16" t="n"/>
      <c r="F35" s="15" t="n"/>
      <c r="G35" s="93" t="n"/>
      <c r="H35" s="25" t="n"/>
      <c r="I35" s="10" t="n"/>
      <c r="J35" s="95" t="n"/>
      <c r="K35" s="96">
        <f>K34-J35</f>
        <v/>
      </c>
      <c r="L35" s="10" t="n"/>
    </row>
    <row r="36">
      <c r="A36" s="10" t="n">
        <v>27</v>
      </c>
      <c r="B36" s="15" t="n"/>
      <c r="C36" s="10" t="n"/>
      <c r="D36" s="10" t="n"/>
      <c r="E36" s="16" t="n"/>
      <c r="F36" s="15" t="n"/>
      <c r="G36" s="93" t="n"/>
      <c r="H36" s="25" t="n"/>
      <c r="I36" s="10" t="n"/>
      <c r="J36" s="95" t="n"/>
      <c r="K36" s="96">
        <f>K35-J36</f>
        <v/>
      </c>
      <c r="L36" s="10" t="n"/>
    </row>
    <row r="37">
      <c r="A37" s="10" t="n">
        <v>28</v>
      </c>
      <c r="B37" s="15" t="n"/>
      <c r="C37" s="10" t="n"/>
      <c r="D37" s="10" t="n"/>
      <c r="E37" s="16" t="n"/>
      <c r="F37" s="15" t="n"/>
      <c r="G37" s="93" t="n"/>
      <c r="H37" s="25" t="n"/>
      <c r="I37" s="10" t="n"/>
      <c r="J37" s="95" t="n"/>
      <c r="K37" s="96">
        <f>K36-J37</f>
        <v/>
      </c>
      <c r="L37" s="10" t="n"/>
    </row>
    <row r="38">
      <c r="A38" s="10" t="n">
        <v>29</v>
      </c>
      <c r="B38" s="15" t="n"/>
      <c r="C38" s="10" t="n"/>
      <c r="D38" s="10" t="n"/>
      <c r="E38" s="16" t="n"/>
      <c r="F38" s="15" t="n"/>
      <c r="G38" s="93" t="n"/>
      <c r="H38" s="25" t="n"/>
      <c r="I38" s="10" t="n"/>
      <c r="J38" s="95" t="n"/>
      <c r="K38" s="96">
        <f>K37-J38</f>
        <v/>
      </c>
      <c r="L38" s="10" t="n"/>
    </row>
    <row r="39">
      <c r="A39" s="10" t="n">
        <v>30</v>
      </c>
      <c r="B39" s="15" t="n"/>
      <c r="C39" s="10" t="n"/>
      <c r="D39" s="10" t="n"/>
      <c r="E39" s="16" t="n"/>
      <c r="F39" s="15" t="n"/>
      <c r="G39" s="93" t="n"/>
      <c r="H39" s="25" t="n"/>
      <c r="I39" s="10" t="n"/>
      <c r="J39" s="95" t="n"/>
      <c r="K39" s="96">
        <f>K38-J39</f>
        <v/>
      </c>
      <c r="L39" s="10" t="n"/>
    </row>
    <row r="40">
      <c r="A40" s="10" t="n">
        <v>31</v>
      </c>
      <c r="B40" s="15" t="n"/>
      <c r="C40" s="10" t="n"/>
      <c r="D40" s="10" t="n"/>
      <c r="E40" s="16" t="n"/>
      <c r="F40" s="15" t="n"/>
      <c r="G40" s="93" t="n"/>
      <c r="H40" s="25" t="n"/>
      <c r="I40" s="10" t="n"/>
      <c r="J40" s="95" t="n"/>
      <c r="K40" s="96">
        <f>K39-J40</f>
        <v/>
      </c>
      <c r="L40" s="10" t="n"/>
    </row>
    <row r="41">
      <c r="A41" s="10" t="n">
        <v>32</v>
      </c>
      <c r="B41" s="15" t="n"/>
      <c r="C41" s="10" t="n"/>
      <c r="D41" s="10" t="n"/>
      <c r="E41" s="16" t="n"/>
      <c r="F41" s="15" t="n"/>
      <c r="G41" s="93" t="n"/>
      <c r="H41" s="25" t="n"/>
      <c r="I41" s="10" t="n"/>
      <c r="J41" s="95" t="n"/>
      <c r="K41" s="96">
        <f>K40-J41</f>
        <v/>
      </c>
      <c r="L41" s="10" t="n"/>
    </row>
    <row r="42">
      <c r="A42" s="10" t="n">
        <v>33</v>
      </c>
      <c r="B42" s="15" t="n"/>
      <c r="C42" s="10" t="n"/>
      <c r="D42" s="10" t="n"/>
      <c r="E42" s="16" t="n"/>
      <c r="F42" s="15" t="n"/>
      <c r="G42" s="93" t="n"/>
      <c r="H42" s="25" t="n"/>
      <c r="I42" s="10" t="n"/>
      <c r="J42" s="95" t="n"/>
      <c r="K42" s="96">
        <f>K41-J42</f>
        <v/>
      </c>
      <c r="L42" s="10" t="n"/>
    </row>
    <row r="43">
      <c r="A43" s="10" t="n">
        <v>34</v>
      </c>
      <c r="B43" s="10" t="n"/>
      <c r="C43" s="10" t="n"/>
      <c r="D43" s="10" t="n"/>
      <c r="E43" s="13" t="n"/>
      <c r="F43" s="15" t="n"/>
      <c r="G43" s="93" t="n"/>
      <c r="H43" s="10" t="n"/>
      <c r="I43" s="10" t="n"/>
      <c r="J43" s="95" t="n"/>
      <c r="K43" s="96">
        <f>K42-J43</f>
        <v/>
      </c>
      <c r="L43" s="10" t="n"/>
    </row>
    <row r="44">
      <c r="A44" s="10" t="n">
        <v>35</v>
      </c>
      <c r="B44" s="10" t="n"/>
      <c r="C44" s="10" t="n"/>
      <c r="D44" s="10" t="n"/>
      <c r="E44" s="13" t="n"/>
      <c r="F44" s="15" t="n"/>
      <c r="G44" s="93" t="n"/>
      <c r="H44" s="10" t="n"/>
      <c r="I44" s="10" t="n"/>
      <c r="J44" s="95" t="n"/>
      <c r="K44" s="96">
        <f>K43-J44</f>
        <v/>
      </c>
      <c r="L44" s="10" t="n"/>
    </row>
    <row r="45">
      <c r="A45" s="10" t="n">
        <v>36</v>
      </c>
      <c r="B45" s="10" t="n"/>
      <c r="C45" s="10" t="n"/>
      <c r="D45" s="10" t="n"/>
      <c r="E45" s="13" t="n"/>
      <c r="F45" s="15" t="n"/>
      <c r="G45" s="93" t="n"/>
      <c r="H45" s="10" t="n"/>
      <c r="I45" s="10" t="n"/>
      <c r="J45" s="95" t="n"/>
      <c r="K45" s="96">
        <f>K44-J45</f>
        <v/>
      </c>
      <c r="L45" s="10" t="n"/>
    </row>
    <row r="46">
      <c r="A46" s="10" t="n">
        <v>37</v>
      </c>
      <c r="B46" s="10" t="n"/>
      <c r="C46" s="10" t="n"/>
      <c r="D46" s="10" t="n"/>
      <c r="E46" s="13" t="n"/>
      <c r="F46" s="15" t="n"/>
      <c r="G46" s="93" t="n"/>
      <c r="H46" s="10" t="n"/>
      <c r="I46" s="10" t="n"/>
      <c r="J46" s="95" t="n"/>
      <c r="K46" s="96">
        <f>K45-J46</f>
        <v/>
      </c>
      <c r="L46" s="10" t="n"/>
    </row>
    <row r="47">
      <c r="A47" s="10" t="n">
        <v>38</v>
      </c>
      <c r="B47" s="10" t="n"/>
      <c r="C47" s="10" t="n"/>
      <c r="D47" s="10" t="n"/>
      <c r="E47" s="13" t="n"/>
      <c r="F47" s="15" t="n"/>
      <c r="G47" s="93" t="n"/>
      <c r="H47" s="10" t="n"/>
      <c r="I47" s="10" t="n"/>
      <c r="J47" s="95" t="n"/>
      <c r="K47" s="96">
        <f>K46-J47</f>
        <v/>
      </c>
      <c r="L47" s="10" t="n"/>
    </row>
    <row r="48">
      <c r="A48" s="10" t="n">
        <v>39</v>
      </c>
      <c r="B48" s="10" t="n"/>
      <c r="C48" s="10" t="n"/>
      <c r="D48" s="10" t="n"/>
      <c r="E48" s="13" t="n"/>
      <c r="F48" s="15" t="n"/>
      <c r="G48" s="93" t="n"/>
      <c r="H48" s="10" t="n"/>
      <c r="I48" s="10" t="n"/>
      <c r="J48" s="95" t="n"/>
      <c r="K48" s="96">
        <f>K47-J48</f>
        <v/>
      </c>
      <c r="L48" s="10" t="n"/>
    </row>
    <row r="49">
      <c r="A49" s="10" t="n">
        <v>40</v>
      </c>
      <c r="B49" s="10" t="n"/>
      <c r="C49" s="10" t="n"/>
      <c r="D49" s="10" t="n"/>
      <c r="E49" s="13" t="n"/>
      <c r="F49" s="15" t="n"/>
      <c r="G49" s="93" t="n"/>
      <c r="H49" s="10" t="n"/>
      <c r="I49" s="10" t="n"/>
      <c r="J49" s="95" t="n"/>
      <c r="K49" s="96">
        <f>K48-J49</f>
        <v/>
      </c>
      <c r="L49" s="10" t="n"/>
    </row>
    <row r="50">
      <c r="A50" s="10" t="n">
        <v>41</v>
      </c>
      <c r="B50" s="10" t="n"/>
      <c r="C50" s="10" t="n"/>
      <c r="D50" s="10" t="n"/>
      <c r="E50" s="13" t="n"/>
      <c r="F50" s="15" t="n"/>
      <c r="G50" s="93" t="n"/>
      <c r="H50" s="10" t="n"/>
      <c r="I50" s="10" t="n"/>
      <c r="J50" s="95" t="n"/>
      <c r="K50" s="96">
        <f>K49-J50</f>
        <v/>
      </c>
      <c r="L50" s="10" t="n"/>
    </row>
    <row r="51">
      <c r="A51" s="10" t="n">
        <v>42</v>
      </c>
      <c r="B51" s="10" t="n"/>
      <c r="C51" s="10" t="n"/>
      <c r="D51" s="10" t="n"/>
      <c r="E51" s="13" t="n"/>
      <c r="F51" s="15" t="n"/>
      <c r="G51" s="93" t="n"/>
      <c r="H51" s="10" t="n"/>
      <c r="I51" s="10" t="n"/>
      <c r="J51" s="95" t="n"/>
      <c r="K51" s="96">
        <f>K50-J51</f>
        <v/>
      </c>
      <c r="L51" s="10" t="n"/>
    </row>
    <row r="52">
      <c r="A52" s="10" t="n">
        <v>43</v>
      </c>
      <c r="B52" s="15" t="n"/>
      <c r="C52" s="10" t="n"/>
      <c r="D52" s="10" t="n"/>
      <c r="E52" s="16" t="n"/>
      <c r="F52" s="15" t="n"/>
      <c r="G52" s="93" t="n"/>
      <c r="H52" s="15" t="n"/>
      <c r="I52" s="10" t="n"/>
      <c r="J52" s="95" t="n"/>
      <c r="K52" s="96">
        <f>K51-J52</f>
        <v/>
      </c>
      <c r="L52" s="10" t="n"/>
    </row>
    <row r="53">
      <c r="A53" s="10" t="n">
        <v>44</v>
      </c>
      <c r="B53" s="10" t="n"/>
      <c r="C53" s="10" t="n"/>
      <c r="D53" s="10" t="n"/>
      <c r="E53" s="13" t="n"/>
      <c r="F53" s="15" t="n"/>
      <c r="G53" s="93" t="n"/>
      <c r="H53" s="10" t="n"/>
      <c r="I53" s="10" t="n"/>
      <c r="J53" s="95" t="n"/>
      <c r="K53" s="96">
        <f>K52-J53</f>
        <v/>
      </c>
      <c r="L53" s="10" t="n"/>
    </row>
    <row r="54">
      <c r="A54" s="10" t="n">
        <v>45</v>
      </c>
      <c r="B54" s="10" t="n"/>
      <c r="C54" s="10" t="n"/>
      <c r="D54" s="10" t="n"/>
      <c r="E54" s="13" t="n"/>
      <c r="F54" s="15" t="n"/>
      <c r="G54" s="93" t="n"/>
      <c r="H54" s="10" t="n"/>
      <c r="I54" s="10" t="n"/>
      <c r="J54" s="95" t="n"/>
      <c r="K54" s="96">
        <f>K53-J54</f>
        <v/>
      </c>
      <c r="L54" s="10" t="n"/>
    </row>
    <row r="55">
      <c r="A55" s="10" t="n">
        <v>46</v>
      </c>
      <c r="B55" s="10" t="n"/>
      <c r="C55" s="10" t="n"/>
      <c r="D55" s="10" t="n"/>
      <c r="E55" s="13" t="n"/>
      <c r="F55" s="15" t="n"/>
      <c r="G55" s="93" t="n"/>
      <c r="H55" s="10" t="n"/>
      <c r="I55" s="10" t="n"/>
      <c r="J55" s="95" t="n"/>
      <c r="K55" s="96">
        <f>K54-J55</f>
        <v/>
      </c>
      <c r="L55" s="10" t="n"/>
    </row>
    <row r="56">
      <c r="A56" s="10" t="n">
        <v>47</v>
      </c>
      <c r="B56" s="10" t="n"/>
      <c r="C56" s="10" t="n"/>
      <c r="D56" s="10" t="n"/>
      <c r="E56" s="13" t="n"/>
      <c r="F56" s="15" t="n"/>
      <c r="G56" s="93" t="n"/>
      <c r="H56" s="10" t="n"/>
      <c r="I56" s="10" t="n"/>
      <c r="J56" s="95" t="n"/>
      <c r="K56" s="96">
        <f>K55-J56</f>
        <v/>
      </c>
      <c r="L56" s="10" t="n"/>
    </row>
    <row r="57">
      <c r="A57" s="10" t="n">
        <v>48</v>
      </c>
      <c r="B57" s="10" t="n"/>
      <c r="C57" s="10" t="n"/>
      <c r="D57" s="10" t="n"/>
      <c r="E57" s="13" t="n"/>
      <c r="F57" s="15" t="n"/>
      <c r="G57" s="93" t="n"/>
      <c r="H57" s="10" t="n"/>
      <c r="I57" s="10" t="n"/>
      <c r="J57" s="95" t="n"/>
      <c r="K57" s="96">
        <f>K56-J57</f>
        <v/>
      </c>
      <c r="L57" s="10" t="n"/>
    </row>
    <row r="58">
      <c r="A58" s="10" t="n">
        <v>49</v>
      </c>
      <c r="B58" s="10" t="n"/>
      <c r="C58" s="10" t="n"/>
      <c r="D58" s="10" t="n"/>
      <c r="E58" s="13" t="n"/>
      <c r="F58" s="15" t="n"/>
      <c r="G58" s="93" t="n"/>
      <c r="H58" s="10" t="n"/>
      <c r="I58" s="10" t="n"/>
      <c r="J58" s="95" t="n"/>
      <c r="K58" s="96">
        <f>K57-J58</f>
        <v/>
      </c>
      <c r="L58" s="10" t="n"/>
    </row>
    <row r="59">
      <c r="A59" s="10" t="n">
        <v>50</v>
      </c>
      <c r="B59" s="10" t="n"/>
      <c r="C59" s="10" t="n"/>
      <c r="D59" s="10" t="n"/>
      <c r="E59" s="13" t="n"/>
      <c r="F59" s="15" t="n"/>
      <c r="G59" s="93" t="n"/>
      <c r="H59" s="10" t="n"/>
      <c r="I59" s="10" t="n"/>
      <c r="J59" s="95" t="n"/>
      <c r="K59" s="96">
        <f>K58-J59</f>
        <v/>
      </c>
      <c r="L59" s="10" t="n"/>
    </row>
    <row r="60">
      <c r="A60" s="10" t="n">
        <v>51</v>
      </c>
      <c r="B60" s="10" t="n"/>
      <c r="C60" s="10" t="n"/>
      <c r="D60" s="10" t="n"/>
      <c r="E60" s="13" t="n"/>
      <c r="F60" s="15" t="n"/>
      <c r="G60" s="93" t="n"/>
      <c r="H60" s="10" t="n"/>
      <c r="I60" s="10" t="n"/>
      <c r="J60" s="95" t="n"/>
      <c r="K60" s="96">
        <f>K59-J60</f>
        <v/>
      </c>
      <c r="L60" s="10" t="n"/>
    </row>
    <row r="61">
      <c r="A61" s="10" t="n">
        <v>52</v>
      </c>
      <c r="B61" s="10" t="n"/>
      <c r="C61" s="10" t="n"/>
      <c r="D61" s="10" t="n"/>
      <c r="E61" s="13" t="n"/>
      <c r="F61" s="15" t="n"/>
      <c r="G61" s="93" t="n"/>
      <c r="H61" s="10" t="n"/>
      <c r="I61" s="10" t="n"/>
      <c r="J61" s="95" t="n"/>
      <c r="K61" s="96">
        <f>K60-J61</f>
        <v/>
      </c>
      <c r="L61" s="10" t="n"/>
    </row>
    <row r="62">
      <c r="A62" s="10" t="n">
        <v>53</v>
      </c>
      <c r="B62" s="10" t="n"/>
      <c r="C62" s="10" t="n"/>
      <c r="D62" s="10" t="n"/>
      <c r="E62" s="13" t="n"/>
      <c r="F62" s="15" t="n"/>
      <c r="G62" s="93" t="n"/>
      <c r="H62" s="10" t="n"/>
      <c r="I62" s="10" t="n"/>
      <c r="J62" s="95" t="n"/>
      <c r="K62" s="96">
        <f>K61-J62</f>
        <v/>
      </c>
      <c r="L62" s="10" t="n"/>
    </row>
    <row r="63">
      <c r="A63" s="10" t="n">
        <v>54</v>
      </c>
      <c r="B63" s="10" t="n"/>
      <c r="C63" s="10" t="n"/>
      <c r="D63" s="10" t="n"/>
      <c r="E63" s="13" t="n"/>
      <c r="F63" s="15" t="n"/>
      <c r="G63" s="93" t="n"/>
      <c r="H63" s="10" t="n"/>
      <c r="I63" s="10" t="n"/>
      <c r="J63" s="95" t="n"/>
      <c r="K63" s="96">
        <f>K62-J63</f>
        <v/>
      </c>
      <c r="L63" s="10" t="n"/>
    </row>
    <row r="64">
      <c r="A64" s="10" t="n">
        <v>55</v>
      </c>
      <c r="B64" s="15" t="n"/>
      <c r="C64" s="10" t="n"/>
      <c r="D64" s="10" t="n"/>
      <c r="E64" s="16" t="n"/>
      <c r="F64" s="15" t="n"/>
      <c r="G64" s="93" t="n"/>
      <c r="H64" s="15" t="n"/>
      <c r="I64" s="10" t="n"/>
      <c r="J64" s="95" t="n"/>
      <c r="K64" s="96">
        <f>K63-J64</f>
        <v/>
      </c>
      <c r="L64" s="27" t="n"/>
    </row>
    <row r="65">
      <c r="A65" s="15" t="n">
        <v>56</v>
      </c>
      <c r="B65" s="10" t="n"/>
      <c r="C65" s="10" t="n"/>
      <c r="D65" s="10" t="n"/>
      <c r="E65" s="13" t="n"/>
      <c r="F65" s="15" t="n"/>
      <c r="G65" s="93" t="n"/>
      <c r="H65" s="10" t="n"/>
      <c r="I65" s="10" t="n"/>
      <c r="J65" s="95" t="n"/>
      <c r="K65" s="96">
        <f>K64-J65</f>
        <v/>
      </c>
      <c r="L65" s="27" t="n"/>
    </row>
    <row r="66">
      <c r="A66" s="15" t="n">
        <v>57</v>
      </c>
      <c r="B66" s="10" t="n"/>
      <c r="C66" s="10" t="n"/>
      <c r="D66" s="10" t="n"/>
      <c r="E66" s="13" t="n"/>
      <c r="F66" s="15" t="n"/>
      <c r="G66" s="93" t="n"/>
      <c r="H66" s="10" t="n"/>
      <c r="I66" s="10" t="n"/>
      <c r="J66" s="95" t="n"/>
      <c r="K66" s="96">
        <f>K65-J66</f>
        <v/>
      </c>
      <c r="L66" s="27" t="n"/>
    </row>
    <row r="67">
      <c r="A67" s="15" t="n">
        <v>58</v>
      </c>
      <c r="B67" s="10" t="n"/>
      <c r="C67" s="10" t="n"/>
      <c r="D67" s="10" t="n"/>
      <c r="E67" s="13" t="n"/>
      <c r="F67" s="15" t="n"/>
      <c r="G67" s="93" t="n"/>
      <c r="H67" s="10" t="n"/>
      <c r="I67" s="10" t="n"/>
      <c r="J67" s="95" t="n"/>
      <c r="K67" s="96">
        <f>K66-J67</f>
        <v/>
      </c>
      <c r="L67" s="27" t="n"/>
    </row>
    <row r="68">
      <c r="A68" s="15" t="n">
        <v>59</v>
      </c>
      <c r="B68" s="10" t="n"/>
      <c r="C68" s="10" t="n"/>
      <c r="D68" s="10" t="n"/>
      <c r="E68" s="13" t="n"/>
      <c r="F68" s="15" t="n"/>
      <c r="G68" s="93" t="n"/>
      <c r="H68" s="10" t="n"/>
      <c r="I68" s="10" t="n"/>
      <c r="J68" s="95" t="n"/>
      <c r="K68" s="96">
        <f>K67-J68</f>
        <v/>
      </c>
      <c r="L68" s="27" t="n"/>
    </row>
    <row r="69">
      <c r="A69" s="15" t="n">
        <v>60</v>
      </c>
      <c r="B69" s="10" t="n"/>
      <c r="C69" s="10" t="n"/>
      <c r="D69" s="10" t="n"/>
      <c r="E69" s="13" t="n"/>
      <c r="F69" s="15" t="n"/>
      <c r="G69" s="93" t="n"/>
      <c r="H69" s="10" t="n"/>
      <c r="I69" s="10" t="n"/>
      <c r="J69" s="95" t="n"/>
      <c r="K69" s="96">
        <f>K68-J69</f>
        <v/>
      </c>
      <c r="L69" s="27" t="n"/>
    </row>
    <row r="70">
      <c r="A70" s="15" t="n">
        <v>61</v>
      </c>
      <c r="B70" s="10" t="n"/>
      <c r="C70" s="10" t="n"/>
      <c r="D70" s="10" t="n"/>
      <c r="E70" s="13" t="n"/>
      <c r="F70" s="15" t="n"/>
      <c r="G70" s="93" t="n"/>
      <c r="H70" s="10" t="n"/>
      <c r="I70" s="10" t="n"/>
      <c r="J70" s="95" t="n"/>
      <c r="K70" s="96">
        <f>K69-J70</f>
        <v/>
      </c>
      <c r="L70" s="27" t="n"/>
    </row>
    <row r="71">
      <c r="A71" s="15" t="n">
        <v>62</v>
      </c>
      <c r="B71" s="10" t="n"/>
      <c r="C71" s="10" t="n"/>
      <c r="D71" s="10" t="n"/>
      <c r="E71" s="13" t="n"/>
      <c r="F71" s="15" t="n"/>
      <c r="G71" s="93" t="n"/>
      <c r="H71" s="10" t="n"/>
      <c r="I71" s="10" t="n"/>
      <c r="J71" s="95" t="n"/>
      <c r="K71" s="96">
        <f>K70-J71</f>
        <v/>
      </c>
      <c r="L71" s="27" t="n"/>
    </row>
    <row r="72">
      <c r="A72" s="15" t="n">
        <v>63</v>
      </c>
      <c r="B72" s="10" t="n"/>
      <c r="C72" s="10" t="n"/>
      <c r="D72" s="10" t="n"/>
      <c r="E72" s="13" t="n"/>
      <c r="F72" s="15" t="n"/>
      <c r="G72" s="93" t="n"/>
      <c r="H72" s="10" t="n"/>
      <c r="I72" s="10" t="n"/>
      <c r="J72" s="95" t="n"/>
      <c r="K72" s="96">
        <f>K71-J72</f>
        <v/>
      </c>
      <c r="L72" s="27" t="n"/>
    </row>
    <row r="73">
      <c r="A73" s="15" t="n">
        <v>64</v>
      </c>
      <c r="B73" s="10" t="n"/>
      <c r="C73" s="10" t="n"/>
      <c r="D73" s="10" t="n"/>
      <c r="E73" s="13" t="n"/>
      <c r="F73" s="15" t="n"/>
      <c r="G73" s="93" t="n"/>
      <c r="H73" s="10" t="n"/>
      <c r="I73" s="10" t="n"/>
      <c r="J73" s="95" t="n"/>
      <c r="K73" s="96">
        <f>K72-J73</f>
        <v/>
      </c>
      <c r="L73" s="27" t="n"/>
    </row>
    <row r="74">
      <c r="A74" s="15" t="n">
        <v>65</v>
      </c>
      <c r="B74" s="15" t="n"/>
      <c r="C74" s="10" t="n"/>
      <c r="D74" s="10" t="n"/>
      <c r="E74" s="16" t="n"/>
      <c r="F74" s="15" t="n"/>
      <c r="G74" s="93" t="n"/>
      <c r="H74" s="15" t="n"/>
      <c r="I74" s="10" t="n"/>
      <c r="J74" s="95" t="n"/>
      <c r="K74" s="96">
        <f>K73-J74</f>
        <v/>
      </c>
      <c r="L74" s="27" t="n"/>
    </row>
    <row r="75">
      <c r="A75" s="15" t="n">
        <v>66</v>
      </c>
      <c r="B75" s="10" t="n"/>
      <c r="C75" s="10" t="n"/>
      <c r="D75" s="10" t="n"/>
      <c r="E75" s="13" t="n"/>
      <c r="F75" s="15" t="n"/>
      <c r="G75" s="93" t="n"/>
      <c r="H75" s="10" t="n"/>
      <c r="I75" s="10" t="n"/>
      <c r="J75" s="95" t="n"/>
      <c r="K75" s="96">
        <f>K74-J75</f>
        <v/>
      </c>
      <c r="L75" s="27" t="n"/>
    </row>
    <row r="76">
      <c r="A76" s="15" t="n">
        <v>67</v>
      </c>
      <c r="B76" s="10" t="n"/>
      <c r="C76" s="10" t="n"/>
      <c r="D76" s="10" t="n"/>
      <c r="E76" s="13" t="n"/>
      <c r="F76" s="15" t="n"/>
      <c r="G76" s="93" t="n"/>
      <c r="H76" s="10" t="n"/>
      <c r="I76" s="10" t="n"/>
      <c r="J76" s="95" t="n"/>
      <c r="K76" s="96">
        <f>K75-J76</f>
        <v/>
      </c>
      <c r="L76" s="27" t="n"/>
    </row>
    <row r="77">
      <c r="A77" s="15" t="n">
        <v>68</v>
      </c>
      <c r="B77" s="10" t="n"/>
      <c r="C77" s="10" t="n"/>
      <c r="D77" s="10" t="n"/>
      <c r="E77" s="13" t="n"/>
      <c r="F77" s="15" t="n"/>
      <c r="G77" s="93" t="n"/>
      <c r="H77" s="10" t="n"/>
      <c r="I77" s="10" t="n"/>
      <c r="J77" s="95" t="n"/>
      <c r="K77" s="96">
        <f>K76-J77</f>
        <v/>
      </c>
      <c r="L77" s="27" t="n"/>
    </row>
    <row r="78">
      <c r="A78" s="15" t="n">
        <v>69</v>
      </c>
      <c r="B78" s="10" t="n"/>
      <c r="C78" s="10" t="n"/>
      <c r="D78" s="10" t="n"/>
      <c r="E78" s="13" t="n"/>
      <c r="F78" s="15" t="n"/>
      <c r="G78" s="93" t="n"/>
      <c r="H78" s="10" t="n"/>
      <c r="I78" s="10" t="n"/>
      <c r="J78" s="95" t="n"/>
      <c r="K78" s="96">
        <f>K77-J78</f>
        <v/>
      </c>
      <c r="L78" s="27" t="n"/>
    </row>
    <row r="79">
      <c r="A79" s="15" t="n">
        <v>70</v>
      </c>
      <c r="B79" s="10" t="n"/>
      <c r="C79" s="10" t="n"/>
      <c r="D79" s="10" t="n"/>
      <c r="E79" s="13" t="n"/>
      <c r="F79" s="15" t="n"/>
      <c r="G79" s="93" t="n"/>
      <c r="H79" s="10" t="n"/>
      <c r="I79" s="10" t="n"/>
      <c r="J79" s="95" t="n"/>
      <c r="K79" s="96">
        <f>K78-J79</f>
        <v/>
      </c>
      <c r="L79" s="27" t="n"/>
    </row>
    <row r="80">
      <c r="A80" s="15" t="n">
        <v>71</v>
      </c>
      <c r="B80" s="10" t="n"/>
      <c r="C80" s="10" t="n"/>
      <c r="D80" s="10" t="n"/>
      <c r="E80" s="13" t="n"/>
      <c r="F80" s="15" t="n"/>
      <c r="G80" s="93" t="n"/>
      <c r="H80" s="10" t="n"/>
      <c r="I80" s="10" t="n"/>
      <c r="J80" s="95" t="n"/>
      <c r="K80" s="96">
        <f>K79-J80</f>
        <v/>
      </c>
      <c r="L80" s="27" t="n"/>
    </row>
    <row r="81">
      <c r="A81" s="15" t="n">
        <v>72</v>
      </c>
      <c r="B81" s="10" t="n"/>
      <c r="C81" s="10" t="n"/>
      <c r="D81" s="10" t="n"/>
      <c r="E81" s="13" t="n"/>
      <c r="F81" s="15" t="n"/>
      <c r="G81" s="93" t="n"/>
      <c r="H81" s="10" t="n"/>
      <c r="I81" s="10" t="n"/>
      <c r="J81" s="95" t="n"/>
      <c r="K81" s="96">
        <f>K80-J81</f>
        <v/>
      </c>
      <c r="L81" s="27" t="n"/>
    </row>
    <row r="204">
      <c r="J204" s="15" t="n"/>
    </row>
  </sheetData>
  <autoFilter ref="B8:I8">
    <filterColumn colId="4" hiddenButton="0" showButton="0"/>
  </autoFilter>
  <mergeCells count="84">
    <mergeCell ref="F29:G29"/>
    <mergeCell ref="F16:G16"/>
    <mergeCell ref="F68:G68"/>
    <mergeCell ref="F25:G25"/>
    <mergeCell ref="A7:B7"/>
    <mergeCell ref="F15:G15"/>
    <mergeCell ref="F80:G80"/>
    <mergeCell ref="F79:G79"/>
    <mergeCell ref="F70:G70"/>
    <mergeCell ref="B6:D6"/>
    <mergeCell ref="F72:G72"/>
    <mergeCell ref="F81:G81"/>
    <mergeCell ref="F23:G23"/>
    <mergeCell ref="B4:D4"/>
    <mergeCell ref="F13:G13"/>
    <mergeCell ref="F56:G56"/>
    <mergeCell ref="F71:G71"/>
    <mergeCell ref="F43:G43"/>
    <mergeCell ref="F57:G57"/>
    <mergeCell ref="F54:G54"/>
    <mergeCell ref="F10:G10"/>
    <mergeCell ref="F63:G63"/>
    <mergeCell ref="F19:G19"/>
    <mergeCell ref="F34:G34"/>
    <mergeCell ref="F74:G74"/>
    <mergeCell ref="F30:G30"/>
    <mergeCell ref="F20:G20"/>
    <mergeCell ref="F76:G76"/>
    <mergeCell ref="F18:G18"/>
    <mergeCell ref="F45:G45"/>
    <mergeCell ref="F33:G33"/>
    <mergeCell ref="F42:G42"/>
    <mergeCell ref="F66:G66"/>
    <mergeCell ref="F17:G17"/>
    <mergeCell ref="F75:G75"/>
    <mergeCell ref="B5:D5"/>
    <mergeCell ref="F47:G47"/>
    <mergeCell ref="F62:G62"/>
    <mergeCell ref="F31:G31"/>
    <mergeCell ref="F46:G46"/>
    <mergeCell ref="F28:G28"/>
    <mergeCell ref="F9:G9"/>
    <mergeCell ref="H3:I3"/>
    <mergeCell ref="F61:G61"/>
    <mergeCell ref="F39:G39"/>
    <mergeCell ref="F48:G48"/>
    <mergeCell ref="H5:I5"/>
    <mergeCell ref="F44:G44"/>
    <mergeCell ref="F64:G64"/>
    <mergeCell ref="F73:G73"/>
    <mergeCell ref="F21:G21"/>
    <mergeCell ref="F36:G36"/>
    <mergeCell ref="F50:G50"/>
    <mergeCell ref="F8:G8"/>
    <mergeCell ref="H2:I2"/>
    <mergeCell ref="F22:G22"/>
    <mergeCell ref="F77:G77"/>
    <mergeCell ref="F49:G49"/>
    <mergeCell ref="F14:G14"/>
    <mergeCell ref="F69:G69"/>
    <mergeCell ref="F11:G11"/>
    <mergeCell ref="F78:G78"/>
    <mergeCell ref="F65:G65"/>
    <mergeCell ref="H4:I4"/>
    <mergeCell ref="F40:G40"/>
    <mergeCell ref="F59:G59"/>
    <mergeCell ref="F55:G55"/>
    <mergeCell ref="F12:G12"/>
    <mergeCell ref="F24:G24"/>
    <mergeCell ref="H6:I6"/>
    <mergeCell ref="F51:G51"/>
    <mergeCell ref="F32:G32"/>
    <mergeCell ref="F26:G26"/>
    <mergeCell ref="F41:G41"/>
    <mergeCell ref="F35:G35"/>
    <mergeCell ref="F38:G38"/>
    <mergeCell ref="F58:G58"/>
    <mergeCell ref="F27:G27"/>
    <mergeCell ref="F52:G52"/>
    <mergeCell ref="F67:G67"/>
    <mergeCell ref="F37:G37"/>
    <mergeCell ref="B3:D3"/>
    <mergeCell ref="F60:G60"/>
    <mergeCell ref="F53:G53"/>
  </mergeCells>
  <conditionalFormatting sqref="C44:D44">
    <cfRule type="duplicateValues" priority="9" dxfId="0"/>
  </conditionalFormatting>
  <conditionalFormatting sqref="D24">
    <cfRule type="duplicateValues" priority="5" dxfId="0"/>
  </conditionalFormatting>
  <conditionalFormatting sqref="D25">
    <cfRule type="duplicateValues" priority="4" dxfId="0"/>
  </conditionalFormatting>
  <conditionalFormatting sqref="D27">
    <cfRule type="duplicateValues" priority="3" dxfId="0"/>
  </conditionalFormatting>
  <conditionalFormatting sqref="D28">
    <cfRule type="duplicateValues" priority="2" dxfId="0"/>
  </conditionalFormatting>
  <conditionalFormatting sqref="D29">
    <cfRule type="duplicateValues" priority="1" dxfId="0"/>
  </conditionalFormatting>
  <dataValidations count="3">
    <dataValidation sqref="I10:I81 J204:J1048576" showDropDown="0" showInputMessage="1" showErrorMessage="1" allowBlank="1" type="list">
      <formula1>"済,否"</formula1>
    </dataValidation>
    <dataValidation sqref="C10:C13 C15:C81" showDropDown="0" showInputMessage="1" showErrorMessage="1" allowBlank="1" type="list">
      <formula1>"広告宣伝費,販促費"</formula1>
    </dataValidation>
    <dataValidation sqref="C14 D10:D81" showDropDown="0" showInputMessage="1" showErrorMessage="1" allowBlank="1" type="list">
      <formula1>"チラシ,DM,ｲﾍﾞﾝﾄ経費,雑誌,看板,のぼり,その他"</formula1>
    </dataValidation>
  </dataValidations>
  <pageMargins left="0.03937007874015748" right="0" top="0.7480314960629921" bottom="0.7480314960629921" header="0.3149606299212598" footer="0.3149606299212598"/>
  <pageSetup orientation="portrait" paperSize="8" scale="69"/>
  <headerFooter>
    <oddHeader>&amp;R&amp;20 &amp;D　&amp;T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event-tool</dc:creator>
  <dcterms:created xmlns:dcterms="http://purl.org/dc/terms/" xmlns:xsi="http://www.w3.org/2001/XMLSchema-instance" xsi:type="dcterms:W3CDTF">2016-10-09T07:06:36Z</dcterms:created>
  <dcterms:modified xmlns:dcterms="http://purl.org/dc/terms/" xmlns:xsi="http://www.w3.org/2001/XMLSchema-instance" xsi:type="dcterms:W3CDTF">2026-10-03T06:05:06Z</dcterms:modified>
  <cp:lastModifiedBy>event-tool</cp:lastModifiedBy>
  <cp:lastPrinted>2022-01-31T06:17:03Z</cp:lastPrinted>
</cp:coreProperties>
</file>